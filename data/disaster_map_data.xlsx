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★ 경영평가총괄TF팀\12. AX\재해지도 만들기_규식\"/>
    </mc:Choice>
  </mc:AlternateContent>
  <bookViews>
    <workbookView xWindow="0" yWindow="0" windowWidth="18000" windowHeight="24765" firstSheet="1" activeTab="7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11" l="1"/>
  <c r="I14" i="8" l="1"/>
  <c r="I14" i="7"/>
  <c r="I14" i="6"/>
  <c r="I14" i="5"/>
  <c r="K36" i="3"/>
  <c r="J36" i="3"/>
  <c r="I36" i="3"/>
  <c r="H36" i="3"/>
  <c r="G36" i="3"/>
  <c r="F36" i="3"/>
  <c r="I14" i="3"/>
</calcChain>
</file>

<file path=xl/sharedStrings.xml><?xml version="1.0" encoding="utf-8"?>
<sst xmlns="http://schemas.openxmlformats.org/spreadsheetml/2006/main" count="585" uniqueCount="152">
  <si>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</si>
  <si>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</si>
  <si>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</si>
  <si>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</si>
  <si>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</si>
  <si>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</si>
  <si>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</si>
  <si>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</si>
  <si>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</si>
  <si>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</si>
  <si>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</si>
  <si>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</si>
  <si>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</si>
  <si>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</si>
  <si>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</si>
  <si>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</si>
  <si>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</si>
  <si>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</si>
  <si>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</si>
  <si>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</si>
  <si>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</si>
  <si>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</si>
  <si>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</si>
  <si>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</si>
  <si>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</si>
  <si>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</si>
  <si>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</si>
  <si>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</si>
  <si>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</si>
  <si>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</si>
  <si>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</si>
  <si>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</si>
  <si>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</si>
  <si>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</si>
  <si>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</si>
  <si>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</si>
  <si>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</si>
  <si>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</si>
  <si>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</si>
  <si>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</si>
  <si>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</si>
  <si>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</si>
  <si>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</si>
  <si>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</si>
  <si>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</si>
  <si>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</si>
  <si>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</si>
  <si>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</si>
  <si>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</si>
  <si>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</si>
  <si>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</si>
  <si>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</si>
  <si>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</si>
  <si>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</si>
  <si>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</si>
  <si>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</si>
  <si>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</si>
  <si>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</si>
  <si>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</si>
  <si>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</si>
  <si>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</si>
  <si>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</si>
  <si>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</si>
  <si>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일시구호세트</t>
  </si>
  <si>
    <t>취사세트</t>
  </si>
  <si>
    <t>희망하우스</t>
  </si>
  <si>
    <t>생수</t>
  </si>
  <si>
    <t>소방관지원세트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</si>
  <si>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</si>
  <si>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</si>
  <si>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</si>
  <si>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</si>
  <si>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</si>
  <si>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</si>
  <si>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</si>
  <si>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</si>
  <si>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</si>
  <si>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</si>
  <si>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</si>
  <si>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</si>
  <si>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</si>
  <si>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</si>
  <si>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</si>
  <si>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</si>
  <si>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</si>
  <si>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</si>
  <si>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</si>
  <si>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</si>
  <si>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</si>
  <si>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</si>
  <si>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</si>
  <si>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</si>
  <si>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</si>
  <si>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</si>
  <si>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</si>
  <si>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</si>
  <si>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</si>
  <si>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</si>
  <si>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</si>
  <si>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</si>
  <si>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</si>
  <si>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</si>
  <si>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</si>
  <si>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</si>
  <si>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</si>
  <si>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</si>
  <si>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</si>
  <si>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</si>
  <si>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</si>
  <si>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</si>
  <si>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</si>
  <si>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</si>
  <si>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</si>
  <si>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</si>
  <si>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</si>
  <si>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기장군</t>
  </si>
  <si>
    <t>거제시</t>
  </si>
  <si>
    <t>전남</t>
  </si>
  <si>
    <t>여수시</t>
  </si>
  <si>
    <t>서귀포시</t>
  </si>
  <si>
    <t>울주군</t>
  </si>
  <si>
    <t>재난 및 구호 현장지도 데이터 - 산불</t>
  </si>
  <si>
    <t>산불피해면적(ha)</t>
  </si>
  <si>
    <t>의성군</t>
  </si>
  <si>
    <t>산청군</t>
  </si>
  <si>
    <t>삼척시</t>
  </si>
  <si>
    <t>영동군</t>
  </si>
  <si>
    <t>순천시</t>
  </si>
  <si>
    <t>재난 및 구호 현장지도 데이터 - 대설</t>
  </si>
  <si>
    <t>최심적설(cm)</t>
  </si>
  <si>
    <t>시설피해(건)</t>
  </si>
  <si>
    <t>교통통제(개소)</t>
  </si>
  <si>
    <t>평창군</t>
  </si>
  <si>
    <t>무주군</t>
  </si>
  <si>
    <t>제천시</t>
  </si>
  <si>
    <t>봉화군</t>
  </si>
  <si>
    <t>포천시</t>
  </si>
  <si>
    <t>재난 및 구호 현장지도 데이터 - 지진</t>
  </si>
  <si>
    <t>진도(MMI)</t>
  </si>
  <si>
    <t>여진횟수</t>
  </si>
  <si>
    <t>경주시</t>
  </si>
  <si>
    <t>북구</t>
  </si>
  <si>
    <t>금정구</t>
  </si>
  <si>
    <t>양산시</t>
  </si>
  <si>
    <t>동구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</si>
  <si>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</si>
  <si>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</si>
  <si>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</si>
  <si>
    <t>구호키트</t>
    <phoneticPr fontId="13" type="noConversion"/>
  </si>
  <si>
    <t>세탁차량</t>
    <phoneticPr fontId="13" type="noConversion"/>
  </si>
  <si>
    <r>
      <t>소방관</t>
    </r>
    <r>
      <rPr>
        <b/>
        <sz val="10"/>
        <color rgb="FF111827"/>
        <rFont val="돋움"/>
        <family val="3"/>
        <charset val="129"/>
      </rPr>
      <t>출동키트</t>
    </r>
    <phoneticPr fontId="13" type="noConversion"/>
  </si>
  <si>
    <t>자원봉사자키트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</si>
</sst>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7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2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  <xf numFmtId="0" fontId="16" fillId="3" borderId="9" xfId="1" applyNumberFormat="1" applyFont="1" applyFill="1" applyBorder="1" applyAlignment="1">
      <alignment horizontal="center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6" t="s">
        <v>0</v>
      </c>
      <c r="B1" s="66" t="s">
        <v>0</v>
      </c>
      <c r="C1" s="66" t="s">
        <v>0</v>
      </c>
      <c r="D1" s="66" t="s">
        <v>0</v>
      </c>
      <c r="E1" s="66" t="s">
        <v>0</v>
      </c>
      <c r="F1" s="66" t="s">
        <v>0</v>
      </c>
      <c r="G1" s="66" t="s">
        <v>0</v>
      </c>
      <c r="H1" s="66" t="s">
        <v>0</v>
      </c>
    </row>
    <row r="3" spans="1:8" ht="15">
      <c r="A3" s="1" t="s">
        <v>1</v>
      </c>
      <c r="B3" s="2" t="s">
        <v>2</v>
      </c>
      <c r="C3" s="65" t="s">
        <v>145</v>
      </c>
    </row>
    <row r="4" spans="1:8" ht="15">
      <c r="A4" s="9" t="s">
        <v>3</v>
      </c>
      <c r="B4" s="6" t="s">
        <v>4</v>
      </c>
      <c r="C4" t="s">
        <v>146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147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sqref="A1:I1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6" t="s">
        <v>15</v>
      </c>
      <c r="B1" s="66" t="s">
        <v>15</v>
      </c>
      <c r="C1" s="66" t="s">
        <v>15</v>
      </c>
      <c r="D1" s="66" t="s">
        <v>15</v>
      </c>
      <c r="E1" s="66" t="s">
        <v>15</v>
      </c>
      <c r="F1" s="66" t="s">
        <v>15</v>
      </c>
      <c r="G1" s="66" t="s">
        <v>15</v>
      </c>
      <c r="H1" s="66" t="s">
        <v>15</v>
      </c>
      <c r="I1" s="66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35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>
      <selection activeCell="A15" sqref="A15:I1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7" t="s">
        <v>58</v>
      </c>
      <c r="B1" s="67" t="s">
        <v>58</v>
      </c>
      <c r="C1" s="67" t="s">
        <v>58</v>
      </c>
      <c r="D1" s="67" t="s">
        <v>58</v>
      </c>
      <c r="E1" s="67" t="s">
        <v>58</v>
      </c>
      <c r="F1" s="67" t="s">
        <v>58</v>
      </c>
      <c r="G1" s="67" t="s">
        <v>58</v>
      </c>
      <c r="H1" s="67" t="s">
        <v>58</v>
      </c>
      <c r="I1" s="67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9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9">
      <c r="A14" s="28" t="s">
        <v>71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21</v>
      </c>
      <c r="B15" s="32" t="s">
        <v>97</v>
      </c>
      <c r="C15" s="32" t="s">
        <v>98</v>
      </c>
      <c r="D15" s="32" t="s">
        <v>99</v>
      </c>
      <c r="E15" s="32" t="s">
        <v>97</v>
      </c>
      <c r="F15" s="32" t="s">
        <v>100</v>
      </c>
      <c r="G15" s="32" t="s">
        <v>100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35"/>
      <c r="K17" s="35"/>
    </row>
    <row r="18" spans="1:11" ht="15">
      <c r="A18" s="25" t="s">
        <v>72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28</v>
      </c>
      <c r="G18" s="26" t="s">
        <v>30</v>
      </c>
      <c r="H18" s="26" t="s">
        <v>31</v>
      </c>
      <c r="I18" s="26" t="s">
        <v>76</v>
      </c>
      <c r="J18" s="11" t="s">
        <v>77</v>
      </c>
      <c r="K18" s="2" t="s">
        <v>78</v>
      </c>
    </row>
    <row r="19" spans="1:11">
      <c r="A19" s="36" t="s">
        <v>79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80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81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82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83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84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85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86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87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88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89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90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91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92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93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94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70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69" t="s">
        <v>95</v>
      </c>
      <c r="B38" s="69"/>
      <c r="C38" s="69"/>
      <c r="D38" s="69"/>
      <c r="E38" s="69"/>
      <c r="F38" s="69"/>
      <c r="G38" s="69"/>
      <c r="H38" s="69"/>
      <c r="I38" s="69"/>
      <c r="J38" s="70"/>
      <c r="K38" s="70"/>
    </row>
    <row r="39" spans="1:11">
      <c r="A39" s="69"/>
      <c r="B39" s="69"/>
      <c r="C39" s="69"/>
      <c r="D39" s="69"/>
      <c r="E39" s="69"/>
      <c r="F39" s="69"/>
      <c r="G39" s="69"/>
      <c r="H39" s="69"/>
      <c r="I39" s="69"/>
      <c r="J39" s="70"/>
      <c r="K39" s="70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workbookViewId="0">
      <selection activeCell="A15" sqref="A15:I1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7" t="s">
        <v>96</v>
      </c>
      <c r="B1" s="67" t="s">
        <v>96</v>
      </c>
      <c r="C1" s="67" t="s">
        <v>96</v>
      </c>
      <c r="D1" s="67" t="s">
        <v>96</v>
      </c>
      <c r="E1" s="67" t="s">
        <v>96</v>
      </c>
      <c r="F1" s="67" t="s">
        <v>96</v>
      </c>
      <c r="G1" s="67" t="s">
        <v>96</v>
      </c>
      <c r="H1" s="67" t="s">
        <v>96</v>
      </c>
      <c r="I1" s="67" t="s">
        <v>96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9">
      <c r="A13" s="25" t="s">
        <v>1</v>
      </c>
      <c r="B13" s="81" t="s">
        <v>148</v>
      </c>
      <c r="C13" s="26" t="s">
        <v>69</v>
      </c>
      <c r="D13" s="26" t="s">
        <v>66</v>
      </c>
      <c r="E13" s="26" t="s">
        <v>68</v>
      </c>
      <c r="F13" s="81" t="s">
        <v>151</v>
      </c>
      <c r="G13" s="81" t="s">
        <v>150</v>
      </c>
      <c r="H13" s="81" t="s">
        <v>149</v>
      </c>
      <c r="I13" s="27" t="s">
        <v>70</v>
      </c>
    </row>
    <row r="14" spans="1:9">
      <c r="A14" s="28" t="s">
        <v>71</v>
      </c>
      <c r="B14" s="29">
        <v>336</v>
      </c>
      <c r="C14" s="29">
        <v>200</v>
      </c>
      <c r="D14" s="29">
        <v>13440</v>
      </c>
      <c r="E14" s="29">
        <v>5732</v>
      </c>
      <c r="F14" s="29"/>
      <c r="G14" s="29"/>
      <c r="H14" s="29"/>
      <c r="I14" s="30">
        <f>SUM(B14:H14)</f>
        <v>19708</v>
      </c>
    </row>
    <row r="15" spans="1:9">
      <c r="A15" s="31" t="s">
        <v>21</v>
      </c>
      <c r="B15" s="32" t="s">
        <v>97</v>
      </c>
      <c r="C15" s="32" t="s">
        <v>98</v>
      </c>
      <c r="D15" s="32" t="s">
        <v>99</v>
      </c>
      <c r="E15" s="32" t="s">
        <v>97</v>
      </c>
      <c r="F15" s="32" t="s">
        <v>100</v>
      </c>
      <c r="G15" s="32" t="s">
        <v>100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</row>
    <row r="18" spans="1:9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101</v>
      </c>
      <c r="G18" s="26" t="s">
        <v>30</v>
      </c>
      <c r="H18" s="26" t="s">
        <v>37</v>
      </c>
      <c r="I18" s="27" t="s">
        <v>24</v>
      </c>
    </row>
    <row r="19" spans="1:9">
      <c r="A19" s="36" t="s">
        <v>93</v>
      </c>
      <c r="B19" s="37" t="s">
        <v>102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93</v>
      </c>
      <c r="B20" s="42" t="s">
        <v>103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81</v>
      </c>
      <c r="B21" s="42"/>
      <c r="C21" s="42" t="s">
        <v>104</v>
      </c>
      <c r="D21" s="42"/>
      <c r="E21" s="42"/>
      <c r="F21" s="54">
        <v>523.5</v>
      </c>
      <c r="G21" s="43"/>
      <c r="H21" s="43"/>
      <c r="I21" s="55" t="s">
        <v>105</v>
      </c>
    </row>
    <row r="22" spans="1:9">
      <c r="A22" s="41" t="s">
        <v>94</v>
      </c>
      <c r="B22" s="42"/>
      <c r="C22" s="42" t="s">
        <v>106</v>
      </c>
      <c r="D22" s="42"/>
      <c r="E22" s="42"/>
      <c r="F22" s="54">
        <v>493</v>
      </c>
      <c r="G22" s="43"/>
      <c r="H22" s="43"/>
      <c r="I22" s="55" t="s">
        <v>105</v>
      </c>
    </row>
    <row r="23" spans="1:9">
      <c r="A23" s="41" t="s">
        <v>93</v>
      </c>
      <c r="B23" s="42" t="s">
        <v>107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93</v>
      </c>
      <c r="B24" s="42" t="s">
        <v>108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85</v>
      </c>
      <c r="B25" s="47"/>
      <c r="C25" s="47"/>
      <c r="D25" s="47"/>
      <c r="E25" s="47"/>
      <c r="F25" s="56"/>
      <c r="G25" s="48"/>
      <c r="H25" s="48">
        <v>1</v>
      </c>
      <c r="I25" s="57" t="s">
        <v>109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D45" sqref="D4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7" t="s">
        <v>110</v>
      </c>
      <c r="B1" s="67" t="s">
        <v>110</v>
      </c>
      <c r="C1" s="67" t="s">
        <v>110</v>
      </c>
      <c r="D1" s="67" t="s">
        <v>110</v>
      </c>
      <c r="E1" s="67" t="s">
        <v>110</v>
      </c>
      <c r="F1" s="67" t="s">
        <v>110</v>
      </c>
      <c r="G1" s="67" t="s">
        <v>110</v>
      </c>
      <c r="H1" s="67" t="s">
        <v>110</v>
      </c>
      <c r="I1" s="67" t="s">
        <v>110</v>
      </c>
      <c r="J1" s="66" t="s">
        <v>110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1" t="s">
        <v>111</v>
      </c>
      <c r="E3" s="72"/>
      <c r="F3" s="72"/>
      <c r="G3" s="72"/>
      <c r="H3" s="72"/>
      <c r="I3" s="73"/>
    </row>
    <row r="4" spans="1:10">
      <c r="A4" s="20" t="s">
        <v>18</v>
      </c>
      <c r="B4" s="21" t="s">
        <v>40</v>
      </c>
      <c r="C4" s="17"/>
      <c r="D4" s="74"/>
      <c r="E4" s="75"/>
      <c r="F4" s="75"/>
      <c r="G4" s="75"/>
      <c r="H4" s="75"/>
      <c r="I4" s="76"/>
    </row>
    <row r="5" spans="1:10">
      <c r="A5" s="20" t="s">
        <v>59</v>
      </c>
      <c r="B5" s="22">
        <v>46269</v>
      </c>
      <c r="C5" s="17"/>
      <c r="D5" s="77"/>
      <c r="E5" s="78"/>
      <c r="F5" s="78"/>
      <c r="G5" s="78"/>
      <c r="H5" s="78"/>
      <c r="I5" s="79"/>
    </row>
    <row r="6" spans="1:10">
      <c r="A6" s="20" t="s">
        <v>60</v>
      </c>
      <c r="B6" s="22">
        <v>46271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46271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10">
      <c r="A13" s="25" t="s">
        <v>1</v>
      </c>
      <c r="B13" s="81" t="s">
        <v>148</v>
      </c>
      <c r="C13" s="26" t="s">
        <v>69</v>
      </c>
      <c r="D13" s="26" t="s">
        <v>66</v>
      </c>
      <c r="E13" s="26" t="s">
        <v>68</v>
      </c>
      <c r="F13" s="81" t="s">
        <v>151</v>
      </c>
      <c r="G13" s="81" t="s">
        <v>150</v>
      </c>
      <c r="H13" s="81" t="s">
        <v>149</v>
      </c>
      <c r="I13" s="27" t="s">
        <v>70</v>
      </c>
    </row>
    <row r="14" spans="1:10">
      <c r="A14" s="28" t="s">
        <v>71</v>
      </c>
      <c r="B14" s="29">
        <v>120</v>
      </c>
      <c r="C14" s="29"/>
      <c r="D14" s="29"/>
      <c r="E14" s="29">
        <v>4800</v>
      </c>
      <c r="F14" s="29"/>
      <c r="G14" s="29">
        <v>1500</v>
      </c>
      <c r="H14" s="29">
        <v>40</v>
      </c>
      <c r="I14" s="30">
        <f>SUM(B14:H14)</f>
        <v>6460</v>
      </c>
    </row>
    <row r="15" spans="1:10">
      <c r="A15" s="31" t="s">
        <v>21</v>
      </c>
      <c r="B15" s="32" t="s">
        <v>97</v>
      </c>
      <c r="C15" s="32" t="s">
        <v>98</v>
      </c>
      <c r="D15" s="32" t="s">
        <v>99</v>
      </c>
      <c r="E15" s="32" t="s">
        <v>97</v>
      </c>
      <c r="F15" s="32" t="s">
        <v>100</v>
      </c>
      <c r="G15" s="32" t="s">
        <v>100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80" t="s">
        <v>9</v>
      </c>
    </row>
    <row r="18" spans="1:10" ht="15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112</v>
      </c>
      <c r="G18" s="26" t="s">
        <v>101</v>
      </c>
      <c r="H18" s="26" t="s">
        <v>44</v>
      </c>
      <c r="I18" s="26" t="s">
        <v>113</v>
      </c>
      <c r="J18" s="2" t="s">
        <v>114</v>
      </c>
    </row>
    <row r="19" spans="1:10">
      <c r="A19" s="36" t="s">
        <v>81</v>
      </c>
      <c r="B19" s="37" t="s">
        <v>115</v>
      </c>
      <c r="C19" s="37"/>
      <c r="D19" s="37"/>
      <c r="E19" s="37"/>
      <c r="F19" s="58">
        <v>38.700000000000003</v>
      </c>
      <c r="G19" s="58">
        <v>312.39999999999998</v>
      </c>
      <c r="H19" s="58">
        <v>84</v>
      </c>
      <c r="I19" s="58">
        <v>12</v>
      </c>
      <c r="J19" s="59">
        <v>130</v>
      </c>
    </row>
    <row r="20" spans="1:10">
      <c r="A20" s="41" t="s">
        <v>93</v>
      </c>
      <c r="B20" s="42" t="s">
        <v>116</v>
      </c>
      <c r="C20" s="42"/>
      <c r="D20" s="42"/>
      <c r="E20" s="42"/>
      <c r="F20" s="60">
        <v>42.1</v>
      </c>
      <c r="G20" s="60">
        <v>356.8</v>
      </c>
      <c r="H20" s="60">
        <v>126</v>
      </c>
      <c r="I20" s="60">
        <v>18</v>
      </c>
      <c r="J20" s="61">
        <v>240</v>
      </c>
    </row>
    <row r="21" spans="1:10">
      <c r="A21" s="41" t="s">
        <v>117</v>
      </c>
      <c r="B21" s="42" t="s">
        <v>118</v>
      </c>
      <c r="C21" s="42"/>
      <c r="D21" s="42"/>
      <c r="E21" s="42"/>
      <c r="F21" s="60">
        <v>35.4</v>
      </c>
      <c r="G21" s="60">
        <v>271.2</v>
      </c>
      <c r="H21" s="60">
        <v>63</v>
      </c>
      <c r="I21" s="60">
        <v>7</v>
      </c>
      <c r="J21" s="61">
        <v>85</v>
      </c>
    </row>
    <row r="22" spans="1:10">
      <c r="A22" s="41" t="s">
        <v>94</v>
      </c>
      <c r="B22" s="42" t="s">
        <v>119</v>
      </c>
      <c r="C22" s="42"/>
      <c r="D22" s="42"/>
      <c r="E22" s="42"/>
      <c r="F22" s="60">
        <v>46.8</v>
      </c>
      <c r="G22" s="60">
        <v>410.5</v>
      </c>
      <c r="H22" s="60">
        <v>205</v>
      </c>
      <c r="I22" s="60">
        <v>24</v>
      </c>
      <c r="J22" s="61">
        <v>310</v>
      </c>
    </row>
    <row r="23" spans="1:10">
      <c r="A23" s="46" t="s">
        <v>85</v>
      </c>
      <c r="B23" s="47" t="s">
        <v>120</v>
      </c>
      <c r="C23" s="47"/>
      <c r="D23" s="47"/>
      <c r="E23" s="47"/>
      <c r="F23" s="62">
        <v>33.9</v>
      </c>
      <c r="G23" s="62">
        <v>198.7</v>
      </c>
      <c r="H23" s="62">
        <v>41</v>
      </c>
      <c r="I23" s="62">
        <v>5</v>
      </c>
      <c r="J23" s="63">
        <v>70</v>
      </c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D42" sqref="D42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7" t="s">
        <v>121</v>
      </c>
      <c r="B1" s="67" t="s">
        <v>121</v>
      </c>
      <c r="C1" s="67" t="s">
        <v>121</v>
      </c>
      <c r="D1" s="67" t="s">
        <v>121</v>
      </c>
      <c r="E1" s="67" t="s">
        <v>121</v>
      </c>
      <c r="F1" s="67" t="s">
        <v>121</v>
      </c>
      <c r="G1" s="67" t="s">
        <v>121</v>
      </c>
      <c r="H1" s="67" t="s">
        <v>121</v>
      </c>
      <c r="I1" s="67" t="s">
        <v>121</v>
      </c>
      <c r="J1" s="66" t="s">
        <v>121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1" t="s">
        <v>111</v>
      </c>
      <c r="E3" s="72"/>
      <c r="F3" s="72"/>
      <c r="G3" s="72"/>
      <c r="H3" s="72"/>
      <c r="I3" s="73"/>
    </row>
    <row r="4" spans="1:10">
      <c r="A4" s="20" t="s">
        <v>18</v>
      </c>
      <c r="B4" s="21" t="s">
        <v>40</v>
      </c>
      <c r="C4" s="17"/>
      <c r="D4" s="74"/>
      <c r="E4" s="75"/>
      <c r="F4" s="75"/>
      <c r="G4" s="75"/>
      <c r="H4" s="75"/>
      <c r="I4" s="76"/>
    </row>
    <row r="5" spans="1:10">
      <c r="A5" s="20" t="s">
        <v>59</v>
      </c>
      <c r="B5" s="22">
        <v>46099</v>
      </c>
      <c r="C5" s="17"/>
      <c r="D5" s="77"/>
      <c r="E5" s="78"/>
      <c r="F5" s="78"/>
      <c r="G5" s="78"/>
      <c r="H5" s="78"/>
      <c r="I5" s="79"/>
    </row>
    <row r="6" spans="1:10">
      <c r="A6" s="20" t="s">
        <v>60</v>
      </c>
      <c r="B6" s="22">
        <v>46103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46103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10">
      <c r="A13" s="25" t="s">
        <v>1</v>
      </c>
      <c r="B13" s="81" t="s">
        <v>148</v>
      </c>
      <c r="C13" s="26" t="s">
        <v>69</v>
      </c>
      <c r="D13" s="26" t="s">
        <v>66</v>
      </c>
      <c r="E13" s="26" t="s">
        <v>68</v>
      </c>
      <c r="F13" s="81" t="s">
        <v>151</v>
      </c>
      <c r="G13" s="81" t="s">
        <v>150</v>
      </c>
      <c r="H13" s="81" t="s">
        <v>149</v>
      </c>
      <c r="I13" s="27" t="s">
        <v>70</v>
      </c>
    </row>
    <row r="14" spans="1:10">
      <c r="A14" s="28" t="s">
        <v>71</v>
      </c>
      <c r="B14" s="29">
        <v>210</v>
      </c>
      <c r="C14" s="29"/>
      <c r="D14" s="29"/>
      <c r="E14" s="29">
        <v>7200</v>
      </c>
      <c r="F14" s="29"/>
      <c r="G14" s="29">
        <v>3200</v>
      </c>
      <c r="H14" s="29">
        <v>65</v>
      </c>
      <c r="I14" s="30">
        <f>SUM(B14:H14)</f>
        <v>10675</v>
      </c>
    </row>
    <row r="15" spans="1:10">
      <c r="A15" s="31" t="s">
        <v>21</v>
      </c>
      <c r="B15" s="32" t="s">
        <v>97</v>
      </c>
      <c r="C15" s="32" t="s">
        <v>98</v>
      </c>
      <c r="D15" s="32" t="s">
        <v>99</v>
      </c>
      <c r="E15" s="32" t="s">
        <v>97</v>
      </c>
      <c r="F15" s="32" t="s">
        <v>100</v>
      </c>
      <c r="G15" s="32" t="s">
        <v>100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80" t="s">
        <v>9</v>
      </c>
    </row>
    <row r="18" spans="1:10" ht="15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122</v>
      </c>
      <c r="G18" s="26" t="s">
        <v>44</v>
      </c>
      <c r="H18" s="26" t="s">
        <v>113</v>
      </c>
      <c r="I18" s="26" t="s">
        <v>30</v>
      </c>
      <c r="J18" s="2" t="s">
        <v>37</v>
      </c>
    </row>
    <row r="19" spans="1:10">
      <c r="A19" s="36" t="s">
        <v>92</v>
      </c>
      <c r="B19" s="37" t="s">
        <v>123</v>
      </c>
      <c r="C19" s="37"/>
      <c r="D19" s="37"/>
      <c r="E19" s="37"/>
      <c r="F19" s="58">
        <v>1840</v>
      </c>
      <c r="G19" s="58">
        <v>740</v>
      </c>
      <c r="H19" s="58">
        <v>31</v>
      </c>
      <c r="I19" s="58">
        <v>0</v>
      </c>
      <c r="J19" s="59">
        <v>4</v>
      </c>
    </row>
    <row r="20" spans="1:10">
      <c r="A20" s="41" t="s">
        <v>93</v>
      </c>
      <c r="B20" s="42" t="s">
        <v>124</v>
      </c>
      <c r="C20" s="42"/>
      <c r="D20" s="42"/>
      <c r="E20" s="42"/>
      <c r="F20" s="60">
        <v>920</v>
      </c>
      <c r="G20" s="60">
        <v>365</v>
      </c>
      <c r="H20" s="60">
        <v>14</v>
      </c>
      <c r="I20" s="60">
        <v>0</v>
      </c>
      <c r="J20" s="61">
        <v>2</v>
      </c>
    </row>
    <row r="21" spans="1:10">
      <c r="A21" s="41" t="s">
        <v>88</v>
      </c>
      <c r="B21" s="42" t="s">
        <v>125</v>
      </c>
      <c r="C21" s="42"/>
      <c r="D21" s="42"/>
      <c r="E21" s="42"/>
      <c r="F21" s="60">
        <v>610</v>
      </c>
      <c r="G21" s="60">
        <v>205</v>
      </c>
      <c r="H21" s="60">
        <v>8</v>
      </c>
      <c r="I21" s="60">
        <v>0</v>
      </c>
      <c r="J21" s="61">
        <v>1</v>
      </c>
    </row>
    <row r="22" spans="1:10">
      <c r="A22" s="41" t="s">
        <v>89</v>
      </c>
      <c r="B22" s="42" t="s">
        <v>126</v>
      </c>
      <c r="C22" s="42"/>
      <c r="D22" s="42"/>
      <c r="E22" s="42"/>
      <c r="F22" s="60">
        <v>275</v>
      </c>
      <c r="G22" s="60">
        <v>92</v>
      </c>
      <c r="H22" s="60">
        <v>3</v>
      </c>
      <c r="I22" s="60">
        <v>0</v>
      </c>
      <c r="J22" s="61">
        <v>0</v>
      </c>
    </row>
    <row r="23" spans="1:10">
      <c r="A23" s="46" t="s">
        <v>117</v>
      </c>
      <c r="B23" s="47" t="s">
        <v>127</v>
      </c>
      <c r="C23" s="47"/>
      <c r="D23" s="47"/>
      <c r="E23" s="47"/>
      <c r="F23" s="62">
        <v>160</v>
      </c>
      <c r="G23" s="62">
        <v>51</v>
      </c>
      <c r="H23" s="62">
        <v>1</v>
      </c>
      <c r="I23" s="62">
        <v>0</v>
      </c>
      <c r="J23" s="63">
        <v>0</v>
      </c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D34" sqref="D34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7" t="s">
        <v>128</v>
      </c>
      <c r="B1" s="67" t="s">
        <v>128</v>
      </c>
      <c r="C1" s="67" t="s">
        <v>128</v>
      </c>
      <c r="D1" s="67" t="s">
        <v>128</v>
      </c>
      <c r="E1" s="67" t="s">
        <v>128</v>
      </c>
      <c r="F1" s="67" t="s">
        <v>128</v>
      </c>
      <c r="G1" s="67" t="s">
        <v>128</v>
      </c>
      <c r="H1" s="67" t="s">
        <v>128</v>
      </c>
      <c r="I1" s="67" t="s">
        <v>128</v>
      </c>
      <c r="J1" s="66" t="s">
        <v>128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1" t="s">
        <v>111</v>
      </c>
      <c r="E3" s="72"/>
      <c r="F3" s="72"/>
      <c r="G3" s="72"/>
      <c r="H3" s="72"/>
      <c r="I3" s="73"/>
    </row>
    <row r="4" spans="1:10">
      <c r="A4" s="20" t="s">
        <v>18</v>
      </c>
      <c r="B4" s="21" t="s">
        <v>40</v>
      </c>
      <c r="C4" s="17"/>
      <c r="D4" s="74"/>
      <c r="E4" s="75"/>
      <c r="F4" s="75"/>
      <c r="G4" s="75"/>
      <c r="H4" s="75"/>
      <c r="I4" s="76"/>
    </row>
    <row r="5" spans="1:10">
      <c r="A5" s="20" t="s">
        <v>59</v>
      </c>
      <c r="B5" s="22">
        <v>46038</v>
      </c>
      <c r="C5" s="17"/>
      <c r="D5" s="77"/>
      <c r="E5" s="78"/>
      <c r="F5" s="78"/>
      <c r="G5" s="78"/>
      <c r="H5" s="78"/>
      <c r="I5" s="79"/>
    </row>
    <row r="6" spans="1:10">
      <c r="A6" s="20" t="s">
        <v>60</v>
      </c>
      <c r="B6" s="22">
        <v>46040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46040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10">
      <c r="A13" s="25" t="s">
        <v>1</v>
      </c>
      <c r="B13" s="81" t="s">
        <v>148</v>
      </c>
      <c r="C13" s="26" t="s">
        <v>69</v>
      </c>
      <c r="D13" s="26" t="s">
        <v>66</v>
      </c>
      <c r="E13" s="26" t="s">
        <v>68</v>
      </c>
      <c r="F13" s="81" t="s">
        <v>151</v>
      </c>
      <c r="G13" s="81" t="s">
        <v>150</v>
      </c>
      <c r="H13" s="81" t="s">
        <v>149</v>
      </c>
      <c r="I13" s="27" t="s">
        <v>70</v>
      </c>
    </row>
    <row r="14" spans="1:10">
      <c r="A14" s="28" t="s">
        <v>71</v>
      </c>
      <c r="B14" s="29">
        <v>80</v>
      </c>
      <c r="C14" s="29"/>
      <c r="D14" s="29"/>
      <c r="E14" s="29">
        <v>2100</v>
      </c>
      <c r="F14" s="29"/>
      <c r="G14" s="29">
        <v>980</v>
      </c>
      <c r="H14" s="29">
        <v>30</v>
      </c>
      <c r="I14" s="30">
        <f>SUM(B14:H14)</f>
        <v>3190</v>
      </c>
    </row>
    <row r="15" spans="1:10">
      <c r="A15" s="31" t="s">
        <v>21</v>
      </c>
      <c r="B15" s="32" t="s">
        <v>97</v>
      </c>
      <c r="C15" s="32" t="s">
        <v>98</v>
      </c>
      <c r="D15" s="32" t="s">
        <v>99</v>
      </c>
      <c r="E15" s="32" t="s">
        <v>97</v>
      </c>
      <c r="F15" s="32" t="s">
        <v>100</v>
      </c>
      <c r="G15" s="32" t="s">
        <v>100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80" t="s">
        <v>9</v>
      </c>
    </row>
    <row r="18" spans="1:10" ht="15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129</v>
      </c>
      <c r="G18" s="26" t="s">
        <v>130</v>
      </c>
      <c r="H18" s="26" t="s">
        <v>54</v>
      </c>
      <c r="I18" s="26" t="s">
        <v>131</v>
      </c>
      <c r="J18" s="2" t="s">
        <v>114</v>
      </c>
    </row>
    <row r="19" spans="1:10">
      <c r="A19" s="36" t="s">
        <v>88</v>
      </c>
      <c r="B19" s="37" t="s">
        <v>132</v>
      </c>
      <c r="C19" s="37"/>
      <c r="D19" s="37"/>
      <c r="E19" s="37"/>
      <c r="F19" s="58">
        <v>48.3</v>
      </c>
      <c r="G19" s="58">
        <v>27</v>
      </c>
      <c r="H19" s="58">
        <v>34</v>
      </c>
      <c r="I19" s="58">
        <v>9</v>
      </c>
      <c r="J19" s="59">
        <v>80</v>
      </c>
    </row>
    <row r="20" spans="1:10">
      <c r="A20" s="41" t="s">
        <v>91</v>
      </c>
      <c r="B20" s="42" t="s">
        <v>133</v>
      </c>
      <c r="C20" s="42"/>
      <c r="D20" s="42"/>
      <c r="E20" s="42"/>
      <c r="F20" s="60">
        <v>41.5</v>
      </c>
      <c r="G20" s="60">
        <v>18</v>
      </c>
      <c r="H20" s="60">
        <v>22</v>
      </c>
      <c r="I20" s="60">
        <v>6</v>
      </c>
      <c r="J20" s="61">
        <v>45</v>
      </c>
    </row>
    <row r="21" spans="1:10">
      <c r="A21" s="41" t="s">
        <v>89</v>
      </c>
      <c r="B21" s="42" t="s">
        <v>134</v>
      </c>
      <c r="C21" s="42"/>
      <c r="D21" s="42"/>
      <c r="E21" s="42"/>
      <c r="F21" s="60">
        <v>36.200000000000003</v>
      </c>
      <c r="G21" s="60">
        <v>14</v>
      </c>
      <c r="H21" s="60">
        <v>15</v>
      </c>
      <c r="I21" s="60">
        <v>5</v>
      </c>
      <c r="J21" s="61">
        <v>21</v>
      </c>
    </row>
    <row r="22" spans="1:10">
      <c r="A22" s="41" t="s">
        <v>92</v>
      </c>
      <c r="B22" s="42" t="s">
        <v>135</v>
      </c>
      <c r="C22" s="42"/>
      <c r="D22" s="42"/>
      <c r="E22" s="42"/>
      <c r="F22" s="60">
        <v>39.799999999999997</v>
      </c>
      <c r="G22" s="60">
        <v>11</v>
      </c>
      <c r="H22" s="60">
        <v>19</v>
      </c>
      <c r="I22" s="60">
        <v>4</v>
      </c>
      <c r="J22" s="61">
        <v>33</v>
      </c>
    </row>
    <row r="23" spans="1:10">
      <c r="A23" s="46" t="s">
        <v>87</v>
      </c>
      <c r="B23" s="47" t="s">
        <v>136</v>
      </c>
      <c r="C23" s="47"/>
      <c r="D23" s="47"/>
      <c r="E23" s="47"/>
      <c r="F23" s="62">
        <v>28.7</v>
      </c>
      <c r="G23" s="62">
        <v>8</v>
      </c>
      <c r="H23" s="62">
        <v>7</v>
      </c>
      <c r="I23" s="62">
        <v>3</v>
      </c>
      <c r="J23" s="63">
        <v>14</v>
      </c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tabSelected="1" workbookViewId="0">
      <selection activeCell="F44" sqref="F44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7" t="s">
        <v>137</v>
      </c>
      <c r="B1" s="67" t="s">
        <v>137</v>
      </c>
      <c r="C1" s="67" t="s">
        <v>137</v>
      </c>
      <c r="D1" s="67" t="s">
        <v>137</v>
      </c>
      <c r="E1" s="67" t="s">
        <v>137</v>
      </c>
      <c r="F1" s="67" t="s">
        <v>137</v>
      </c>
      <c r="G1" s="67" t="s">
        <v>137</v>
      </c>
      <c r="H1" s="67" t="s">
        <v>137</v>
      </c>
      <c r="I1" s="67" t="s">
        <v>137</v>
      </c>
      <c r="J1" s="66" t="s">
        <v>137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1" t="s">
        <v>111</v>
      </c>
      <c r="E3" s="72"/>
      <c r="F3" s="72"/>
      <c r="G3" s="72"/>
      <c r="H3" s="72"/>
      <c r="I3" s="73"/>
    </row>
    <row r="4" spans="1:10">
      <c r="A4" s="20" t="s">
        <v>18</v>
      </c>
      <c r="B4" s="21" t="s">
        <v>40</v>
      </c>
      <c r="C4" s="17"/>
      <c r="D4" s="74"/>
      <c r="E4" s="75"/>
      <c r="F4" s="75"/>
      <c r="G4" s="75"/>
      <c r="H4" s="75"/>
      <c r="I4" s="76"/>
    </row>
    <row r="5" spans="1:10">
      <c r="A5" s="20" t="s">
        <v>59</v>
      </c>
      <c r="B5" s="22">
        <v>46153</v>
      </c>
      <c r="C5" s="17"/>
      <c r="D5" s="77"/>
      <c r="E5" s="78"/>
      <c r="F5" s="78"/>
      <c r="G5" s="78"/>
      <c r="H5" s="78"/>
      <c r="I5" s="79"/>
    </row>
    <row r="6" spans="1:10">
      <c r="A6" s="20" t="s">
        <v>60</v>
      </c>
      <c r="B6" s="22">
        <v>46153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46154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10">
      <c r="A13" s="25" t="s">
        <v>1</v>
      </c>
      <c r="B13" s="81" t="s">
        <v>148</v>
      </c>
      <c r="C13" s="26" t="s">
        <v>69</v>
      </c>
      <c r="D13" s="26" t="s">
        <v>66</v>
      </c>
      <c r="E13" s="26" t="s">
        <v>68</v>
      </c>
      <c r="F13" s="81" t="s">
        <v>151</v>
      </c>
      <c r="G13" s="81" t="s">
        <v>150</v>
      </c>
      <c r="H13" s="81" t="s">
        <v>149</v>
      </c>
      <c r="I13" s="27" t="s">
        <v>70</v>
      </c>
    </row>
    <row r="14" spans="1:10">
      <c r="A14" s="28" t="s">
        <v>71</v>
      </c>
      <c r="B14" s="29">
        <v>55</v>
      </c>
      <c r="C14" s="29"/>
      <c r="D14" s="29"/>
      <c r="E14" s="29">
        <v>1600</v>
      </c>
      <c r="F14" s="29"/>
      <c r="G14" s="29">
        <v>620</v>
      </c>
      <c r="H14" s="29">
        <v>20</v>
      </c>
      <c r="I14" s="30">
        <f>SUM(B14:H14)</f>
        <v>2295</v>
      </c>
    </row>
    <row r="15" spans="1:10">
      <c r="A15" s="31" t="s">
        <v>21</v>
      </c>
      <c r="B15" s="32" t="s">
        <v>97</v>
      </c>
      <c r="C15" s="32" t="s">
        <v>98</v>
      </c>
      <c r="D15" s="32" t="s">
        <v>99</v>
      </c>
      <c r="E15" s="32" t="s">
        <v>97</v>
      </c>
      <c r="F15" s="32" t="s">
        <v>100</v>
      </c>
      <c r="G15" s="32" t="s">
        <v>100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80" t="s">
        <v>9</v>
      </c>
    </row>
    <row r="18" spans="1:10" ht="15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138</v>
      </c>
      <c r="G18" s="26" t="s">
        <v>37</v>
      </c>
      <c r="H18" s="26" t="s">
        <v>130</v>
      </c>
      <c r="I18" s="26" t="s">
        <v>44</v>
      </c>
      <c r="J18" s="2" t="s">
        <v>139</v>
      </c>
    </row>
    <row r="19" spans="1:10">
      <c r="A19" s="36" t="s">
        <v>92</v>
      </c>
      <c r="B19" s="37" t="s">
        <v>140</v>
      </c>
      <c r="C19" s="37"/>
      <c r="D19" s="37"/>
      <c r="E19" s="37"/>
      <c r="F19" s="58">
        <v>6</v>
      </c>
      <c r="G19" s="58">
        <v>7</v>
      </c>
      <c r="H19" s="58">
        <v>42</v>
      </c>
      <c r="I19" s="58">
        <v>310</v>
      </c>
      <c r="J19" s="59">
        <v>18</v>
      </c>
    </row>
    <row r="20" spans="1:10">
      <c r="A20" s="41" t="s">
        <v>85</v>
      </c>
      <c r="B20" s="42" t="s">
        <v>141</v>
      </c>
      <c r="C20" s="42"/>
      <c r="D20" s="42"/>
      <c r="E20" s="42"/>
      <c r="F20" s="60">
        <v>5</v>
      </c>
      <c r="G20" s="60">
        <v>2</v>
      </c>
      <c r="H20" s="60">
        <v>11</v>
      </c>
      <c r="I20" s="60">
        <v>95</v>
      </c>
      <c r="J20" s="61">
        <v>6</v>
      </c>
    </row>
    <row r="21" spans="1:10">
      <c r="A21" s="41" t="s">
        <v>81</v>
      </c>
      <c r="B21" s="42" t="s">
        <v>142</v>
      </c>
      <c r="C21" s="42"/>
      <c r="D21" s="42"/>
      <c r="E21" s="42"/>
      <c r="F21" s="60">
        <v>4</v>
      </c>
      <c r="G21" s="60">
        <v>0</v>
      </c>
      <c r="H21" s="60">
        <v>3</v>
      </c>
      <c r="I21" s="60">
        <v>21</v>
      </c>
      <c r="J21" s="61">
        <v>2</v>
      </c>
    </row>
    <row r="22" spans="1:10">
      <c r="A22" s="41" t="s">
        <v>93</v>
      </c>
      <c r="B22" s="42" t="s">
        <v>143</v>
      </c>
      <c r="C22" s="42"/>
      <c r="D22" s="42"/>
      <c r="E22" s="42"/>
      <c r="F22" s="60">
        <v>5</v>
      </c>
      <c r="G22" s="60">
        <v>1</v>
      </c>
      <c r="H22" s="60">
        <v>8</v>
      </c>
      <c r="I22" s="60">
        <v>64</v>
      </c>
      <c r="J22" s="61">
        <v>4</v>
      </c>
    </row>
    <row r="23" spans="1:10">
      <c r="A23" s="46" t="s">
        <v>82</v>
      </c>
      <c r="B23" s="47" t="s">
        <v>144</v>
      </c>
      <c r="C23" s="47"/>
      <c r="D23" s="47"/>
      <c r="E23" s="47"/>
      <c r="F23" s="62">
        <v>4</v>
      </c>
      <c r="G23" s="62">
        <v>0</v>
      </c>
      <c r="H23" s="62">
        <v>2</v>
      </c>
      <c r="I23" s="62">
        <v>12</v>
      </c>
      <c r="J23" s="63">
        <v>1</v>
      </c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2026-08-19T05:14:12Z</dcterms:modified>
</cp:coreProperties>
</file>