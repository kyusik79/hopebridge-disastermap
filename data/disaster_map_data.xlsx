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ers\User\Documents\Amaranth10\"/>
    </mc:Choice>
  </mc:AlternateContent>
  <bookViews>
    <workbookView xWindow="0" yWindow="0" windowWidth="18000" windowHeight="24765" firstSheet="1" activeTab="3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3" l="1"/>
  <c r="I14" i="11" l="1"/>
  <c r="K36" i="3" l="1"/>
  <c r="J36" i="3"/>
  <c r="I36" i="3"/>
  <c r="H36" i="3"/>
  <c r="G36" i="3"/>
  <c r="F36" i="3"/>
</calcChain>
</file>

<file path=xl/sharedStrings.xml><?xml version="1.0" encoding="utf-8"?>
<sst xmlns="http://schemas.openxmlformats.org/spreadsheetml/2006/main" count="545" uniqueCount="127">
  <si>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</si>
  <si>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</si>
  <si>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</si>
  <si>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</si>
  <si>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</si>
  <si>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</si>
  <si>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</si>
  <si>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</si>
  <si>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</si>
  <si>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</si>
  <si>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</si>
  <si>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</si>
  <si>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</si>
  <si>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</si>
  <si>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</si>
  <si>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</si>
  <si>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</si>
  <si>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</si>
  <si>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</si>
  <si>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</si>
  <si>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</si>
  <si>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</si>
  <si>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</si>
  <si>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</si>
  <si>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</si>
  <si>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</si>
  <si>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</si>
  <si>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</si>
  <si>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</si>
  <si>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</si>
  <si>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</si>
  <si>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</si>
  <si>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</si>
  <si>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</si>
  <si>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</si>
  <si>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</si>
  <si>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</si>
  <si>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</si>
  <si>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</si>
  <si>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</si>
  <si>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</si>
  <si>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</si>
  <si>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</si>
  <si>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</si>
  <si>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</si>
  <si>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</si>
  <si>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</si>
  <si>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</si>
  <si>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</si>
  <si>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</si>
  <si>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</si>
  <si>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</si>
  <si>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</si>
  <si>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</si>
  <si>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</si>
  <si>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</si>
  <si>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</si>
  <si>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</si>
  <si>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</si>
  <si>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</si>
  <si>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</si>
  <si>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</si>
  <si>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</si>
  <si>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생수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</si>
  <si>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</si>
  <si>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</si>
  <si>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</si>
  <si>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</si>
  <si>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</si>
  <si>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</si>
  <si>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</si>
  <si>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</si>
  <si>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</si>
  <si>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</si>
  <si>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</si>
  <si>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</si>
  <si>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</si>
  <si>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</si>
  <si>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</si>
  <si>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</si>
  <si>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</si>
  <si>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</si>
  <si>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</si>
  <si>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</si>
  <si>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</si>
  <si>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</si>
  <si>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</si>
  <si>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</si>
  <si>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</si>
  <si>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</si>
  <si>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</si>
  <si>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</si>
  <si>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</si>
  <si>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</si>
  <si>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</si>
  <si>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</si>
  <si>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</si>
  <si>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</si>
  <si>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</si>
  <si>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</si>
  <si>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</si>
  <si>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</si>
  <si>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</si>
  <si>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</si>
  <si>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</si>
  <si>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</si>
  <si>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</si>
  <si>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</si>
  <si>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</si>
  <si>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</si>
  <si>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</si>
  <si>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</si>
  <si>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</si>
  <si>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</si>
  <si>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</si>
  <si>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</si>
  <si>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</si>
  <si>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</si>
  <si>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</si>
  <si>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</si>
  <si>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</si>
  <si>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</si>
  <si>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</si>
  <si>
    <t>구호키트</t>
    <phoneticPr fontId="13" type="noConversion"/>
  </si>
  <si>
    <t>세탁차량</t>
    <phoneticPr fontId="13" type="noConversion"/>
  </si>
  <si>
    <r>
      <t>소방관</t>
    </r>
    <r>
      <rPr>
        <b/>
        <sz val="10"/>
        <color rgb="FF111827"/>
        <rFont val="돋움"/>
        <family val="3"/>
        <charset val="129"/>
      </rPr>
      <t>출동키트</t>
    </r>
    <phoneticPr fontId="13" type="noConversion"/>
  </si>
  <si>
    <t>자원봉사자키트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</si>
</sst>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7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2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7" t="s">
        <v>0</v>
      </c>
      <c r="B1" s="67" t="s">
        <v>0</v>
      </c>
      <c r="C1" s="67" t="s">
        <v>0</v>
      </c>
      <c r="D1" s="67" t="s">
        <v>0</v>
      </c>
      <c r="E1" s="67" t="s">
        <v>0</v>
      </c>
      <c r="F1" s="67" t="s">
        <v>0</v>
      </c>
      <c r="G1" s="67" t="s">
        <v>0</v>
      </c>
      <c r="H1" s="67" t="s">
        <v>0</v>
      </c>
    </row>
    <row r="3" spans="1:8" ht="15">
      <c r="A3" s="1" t="s">
        <v>1</v>
      </c>
      <c r="B3" s="2" t="s">
        <v>2</v>
      </c>
      <c r="C3" s="65" t="s">
        <v>120</v>
      </c>
    </row>
    <row r="4" spans="1:8" ht="15">
      <c r="A4" s="9" t="s">
        <v>3</v>
      </c>
      <c r="B4" s="6" t="s">
        <v>4</v>
      </c>
      <c r="C4" t="s">
        <v>121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122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sqref="A1:I1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7" t="s">
        <v>15</v>
      </c>
      <c r="B1" s="67" t="s">
        <v>15</v>
      </c>
      <c r="C1" s="67" t="s">
        <v>15</v>
      </c>
      <c r="D1" s="67" t="s">
        <v>15</v>
      </c>
      <c r="E1" s="67" t="s">
        <v>15</v>
      </c>
      <c r="F1" s="67" t="s">
        <v>15</v>
      </c>
      <c r="G1" s="67" t="s">
        <v>15</v>
      </c>
      <c r="H1" s="67" t="s">
        <v>15</v>
      </c>
      <c r="I1" s="67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35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0"/>
  <sheetViews>
    <sheetView workbookViewId="0">
      <selection activeCell="I14" sqref="I14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58</v>
      </c>
      <c r="B1" s="68" t="s">
        <v>58</v>
      </c>
      <c r="C1" s="68" t="s">
        <v>58</v>
      </c>
      <c r="D1" s="68" t="s">
        <v>58</v>
      </c>
      <c r="E1" s="68" t="s">
        <v>58</v>
      </c>
      <c r="F1" s="68" t="s">
        <v>58</v>
      </c>
      <c r="G1" s="68" t="s">
        <v>58</v>
      </c>
      <c r="H1" s="68" t="s">
        <v>58</v>
      </c>
      <c r="I1" s="68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35"/>
      <c r="K17" s="35"/>
    </row>
    <row r="18" spans="1:11" ht="15">
      <c r="A18" s="25" t="s">
        <v>68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28</v>
      </c>
      <c r="G18" s="26" t="s">
        <v>30</v>
      </c>
      <c r="H18" s="26" t="s">
        <v>31</v>
      </c>
      <c r="I18" s="26" t="s">
        <v>72</v>
      </c>
      <c r="J18" s="11" t="s">
        <v>73</v>
      </c>
      <c r="K18" s="2" t="s">
        <v>74</v>
      </c>
    </row>
    <row r="19" spans="1:11">
      <c r="A19" s="36" t="s">
        <v>75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76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77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78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79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80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81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82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83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84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85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86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87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88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89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90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66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0" t="s">
        <v>91</v>
      </c>
      <c r="B38" s="70"/>
      <c r="C38" s="70"/>
      <c r="D38" s="70"/>
      <c r="E38" s="70"/>
      <c r="F38" s="70"/>
      <c r="G38" s="70"/>
      <c r="H38" s="70"/>
      <c r="I38" s="70"/>
      <c r="J38" s="71"/>
      <c r="K38" s="71"/>
    </row>
    <row r="39" spans="1:11">
      <c r="A39" s="70"/>
      <c r="B39" s="70"/>
      <c r="C39" s="70"/>
      <c r="D39" s="70"/>
      <c r="E39" s="70"/>
      <c r="F39" s="70"/>
      <c r="G39" s="70"/>
      <c r="H39" s="70"/>
      <c r="I39" s="70"/>
      <c r="J39" s="71"/>
      <c r="K39" s="71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  <pageSetup paperSize="9" scale="69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tabSelected="1" workbookViewId="0">
      <selection activeCell="D15" sqref="D1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92</v>
      </c>
      <c r="B1" s="68" t="s">
        <v>92</v>
      </c>
      <c r="C1" s="68" t="s">
        <v>92</v>
      </c>
      <c r="D1" s="68" t="s">
        <v>92</v>
      </c>
      <c r="E1" s="68" t="s">
        <v>92</v>
      </c>
      <c r="F1" s="68" t="s">
        <v>92</v>
      </c>
      <c r="G1" s="68" t="s">
        <v>92</v>
      </c>
      <c r="H1" s="68" t="s">
        <v>92</v>
      </c>
      <c r="I1" s="68" t="s">
        <v>92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>
        <v>336</v>
      </c>
      <c r="C14" s="29">
        <v>100</v>
      </c>
      <c r="D14" s="29">
        <v>35840</v>
      </c>
      <c r="E14" s="29">
        <v>10742</v>
      </c>
      <c r="F14" s="29">
        <v>1200</v>
      </c>
      <c r="G14" s="29">
        <v>625</v>
      </c>
      <c r="H14" s="29"/>
      <c r="I14" s="30">
        <f>SUM(B14:H14)</f>
        <v>48843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</row>
    <row r="18" spans="1:9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97</v>
      </c>
      <c r="G18" s="26" t="s">
        <v>30</v>
      </c>
      <c r="H18" s="26" t="s">
        <v>37</v>
      </c>
      <c r="I18" s="27" t="s">
        <v>24</v>
      </c>
    </row>
    <row r="19" spans="1:9">
      <c r="A19" s="36" t="s">
        <v>89</v>
      </c>
      <c r="B19" s="37" t="s">
        <v>98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89</v>
      </c>
      <c r="B20" s="42" t="s">
        <v>99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77</v>
      </c>
      <c r="B21" s="42"/>
      <c r="C21" s="42" t="s">
        <v>100</v>
      </c>
      <c r="D21" s="42"/>
      <c r="E21" s="42"/>
      <c r="F21" s="54">
        <v>523.5</v>
      </c>
      <c r="G21" s="43"/>
      <c r="H21" s="43"/>
      <c r="I21" s="55" t="s">
        <v>101</v>
      </c>
    </row>
    <row r="22" spans="1:9">
      <c r="A22" s="41" t="s">
        <v>90</v>
      </c>
      <c r="B22" s="42"/>
      <c r="C22" s="42" t="s">
        <v>102</v>
      </c>
      <c r="D22" s="42"/>
      <c r="E22" s="42"/>
      <c r="F22" s="54">
        <v>493</v>
      </c>
      <c r="G22" s="43"/>
      <c r="H22" s="43"/>
      <c r="I22" s="55" t="s">
        <v>101</v>
      </c>
    </row>
    <row r="23" spans="1:9">
      <c r="A23" s="41" t="s">
        <v>89</v>
      </c>
      <c r="B23" s="42" t="s">
        <v>103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89</v>
      </c>
      <c r="B24" s="42" t="s">
        <v>104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81</v>
      </c>
      <c r="B25" s="47"/>
      <c r="C25" s="47"/>
      <c r="D25" s="47"/>
      <c r="E25" s="47"/>
      <c r="F25" s="56"/>
      <c r="G25" s="48"/>
      <c r="H25" s="48">
        <v>1</v>
      </c>
      <c r="I25" s="57" t="s">
        <v>105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topLeftCell="E1" workbookViewId="0">
      <selection activeCell="J36" sqref="J36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106</v>
      </c>
      <c r="B1" s="68" t="s">
        <v>106</v>
      </c>
      <c r="C1" s="68" t="s">
        <v>106</v>
      </c>
      <c r="D1" s="68" t="s">
        <v>106</v>
      </c>
      <c r="E1" s="68" t="s">
        <v>106</v>
      </c>
      <c r="F1" s="68" t="s">
        <v>106</v>
      </c>
      <c r="G1" s="68" t="s">
        <v>106</v>
      </c>
      <c r="H1" s="68" t="s">
        <v>106</v>
      </c>
      <c r="I1" s="68" t="s">
        <v>106</v>
      </c>
      <c r="J1" s="67" t="s">
        <v>106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46269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46271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46271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108</v>
      </c>
      <c r="G18" s="26" t="s">
        <v>97</v>
      </c>
      <c r="H18" s="26" t="s">
        <v>44</v>
      </c>
      <c r="I18" s="26" t="s">
        <v>109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A19" sqref="A19:K23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111</v>
      </c>
      <c r="B1" s="68" t="s">
        <v>111</v>
      </c>
      <c r="C1" s="68" t="s">
        <v>111</v>
      </c>
      <c r="D1" s="68" t="s">
        <v>111</v>
      </c>
      <c r="E1" s="68" t="s">
        <v>111</v>
      </c>
      <c r="F1" s="68" t="s">
        <v>111</v>
      </c>
      <c r="G1" s="68" t="s">
        <v>111</v>
      </c>
      <c r="H1" s="68" t="s">
        <v>111</v>
      </c>
      <c r="I1" s="68" t="s">
        <v>111</v>
      </c>
      <c r="J1" s="67" t="s">
        <v>111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46099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46103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46103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112</v>
      </c>
      <c r="G18" s="26" t="s">
        <v>44</v>
      </c>
      <c r="H18" s="26" t="s">
        <v>109</v>
      </c>
      <c r="I18" s="26" t="s">
        <v>30</v>
      </c>
      <c r="J18" s="2" t="s">
        <v>37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D38" sqref="D38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113</v>
      </c>
      <c r="B1" s="68" t="s">
        <v>113</v>
      </c>
      <c r="C1" s="68" t="s">
        <v>113</v>
      </c>
      <c r="D1" s="68" t="s">
        <v>113</v>
      </c>
      <c r="E1" s="68" t="s">
        <v>113</v>
      </c>
      <c r="F1" s="68" t="s">
        <v>113</v>
      </c>
      <c r="G1" s="68" t="s">
        <v>113</v>
      </c>
      <c r="H1" s="68" t="s">
        <v>113</v>
      </c>
      <c r="I1" s="68" t="s">
        <v>113</v>
      </c>
      <c r="J1" s="67" t="s">
        <v>113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46038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46040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46040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114</v>
      </c>
      <c r="G18" s="26" t="s">
        <v>115</v>
      </c>
      <c r="H18" s="26" t="s">
        <v>54</v>
      </c>
      <c r="I18" s="26" t="s">
        <v>116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C29" sqref="C29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117</v>
      </c>
      <c r="B1" s="68" t="s">
        <v>117</v>
      </c>
      <c r="C1" s="68" t="s">
        <v>117</v>
      </c>
      <c r="D1" s="68" t="s">
        <v>117</v>
      </c>
      <c r="E1" s="68" t="s">
        <v>117</v>
      </c>
      <c r="F1" s="68" t="s">
        <v>117</v>
      </c>
      <c r="G1" s="68" t="s">
        <v>117</v>
      </c>
      <c r="H1" s="68" t="s">
        <v>117</v>
      </c>
      <c r="I1" s="68" t="s">
        <v>117</v>
      </c>
      <c r="J1" s="67" t="s">
        <v>117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>
        <v>46153</v>
      </c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>
        <v>46153</v>
      </c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>
        <v>46154</v>
      </c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118</v>
      </c>
      <c r="G18" s="26" t="s">
        <v>37</v>
      </c>
      <c r="H18" s="26" t="s">
        <v>115</v>
      </c>
      <c r="I18" s="26" t="s">
        <v>44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2026-08-19T05:45:31Z</cp:lastPrinted>
  <dcterms:modified xsi:type="dcterms:W3CDTF">2026-08-19T09:16:06Z</dcterms:modified>
</cp:coreProperties>
</file>